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<sst xmlns="http://schemas.openxmlformats.org/spreadsheetml/2006/main" count="12" uniqueCount="8">
  <si>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Pulled up Thermistor</t>
  </si>
  <si>
    <t xml:space="preserve">Voltage supply</t>
  </si>
  <si>
    <t xml:space="preserve">V</t>
  </si>
  <si>
    <t xml:space="preserve">Temp</t>
  </si>
  <si>
    <t xml:space="preserve">R_Temp</t>
  </si>
  <si>
    <t xml:space="preserve">Output voltage when using Hall Ground</t>
  </si>
  <si>
    <t xml:space="preserve">Pulled down Thermistor</t>
  </si>
  <si>
    <t xml:space="preserve">Output voltage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</si>
</sst>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3F3F76"/>
      <name val="Aptos Narrow"/>
      <family val="2"/>
      <charset val="1"/>
    </font>
    <font>
      <b val="true"/>
      <sz val="11"/>
      <color rgb="FF3F3F3F"/>
      <name val="Aptos Narrow"/>
      <family val="2"/>
      <charset val="1"/>
    </font>
    <font>
      <b val="true"/>
      <sz val="11"/>
      <color rgb="FFFA7D00"/>
      <name val="Aptos Narrow"/>
      <family val="2"/>
      <charset val="1"/>
    </font>
    <font>
      <sz val="11"/>
      <color rgb="FF9C57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FEB9C"/>
      </patternFill>
    </fill>
    <fill>
      <patternFill patternType="solid">
        <fgColor rgb="FFF2F2F2"/>
        <bgColor rgb="FFFFFFCC"/>
      </patternFill>
    </fill>
    <fill>
      <patternFill patternType="solid">
        <fgColor rgb="FFFFEB9C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rgb="FF3F3F3F"/>
      </right>
      <top/>
      <bottom style="thin">
        <color rgb="FF3F3F3F"/>
      </bottom>
      <diagonal/>
    </border>
    <border diagonalUp="false" diagonalDown="false"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 diagonalUp="false" diagonalDown="false">
      <left style="thin">
        <color rgb="FF7F7F7F"/>
      </left>
      <right style="thin"/>
      <top/>
      <bottom style="thin">
        <color rgb="FF7F7F7F"/>
      </bottom>
      <diagonal/>
    </border>
    <border diagonalUp="false" diagonalDown="false">
      <left style="thin"/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thin">
        <color rgb="FF7F7F7F"/>
      </left>
      <right style="thin"/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>
        <color rgb="FF3F3F3F"/>
      </right>
      <top style="thin">
        <color rgb="FF3F3F3F"/>
      </top>
      <bottom style="thin"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/>
      <diagonal/>
    </border>
    <border diagonalUp="false" diagonalDown="false">
      <left style="thin">
        <color rgb="FF7F7F7F"/>
      </left>
      <right style="thin"/>
      <top style="thin">
        <color rgb="FF7F7F7F"/>
      </top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7F7F7F"/>
      </left>
      <right/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7F7F7F"/>
      </left>
      <right/>
      <top/>
      <bottom style="thin">
        <color rgb="FF7F7F7F"/>
      </bottom>
      <diagonal/>
    </border>
    <border diagonalUp="false" diagonalDown="false">
      <left style="thin"/>
      <right style="thin"/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/>
      <top style="thin">
        <color rgb="FF7F7F7F"/>
      </top>
      <bottom style="thin"/>
      <diagonal/>
    </border>
    <border diagonalUp="false" diagonalDown="false">
      <left style="thin"/>
      <right style="thin"/>
      <top style="thin">
        <color rgb="FF7F7F7F"/>
      </top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3" borderId="2" applyFont="true" applyBorder="true" applyAlignment="true" applyProtection="false">
      <alignment horizontal="general" vertical="bottom" textRotation="0" wrapText="false" indent="0" shrinkToFit="false"/>
    </xf>
    <xf numFmtId="164" fontId="7" fillId="3" borderId="1" applyFont="true" applyBorder="tru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9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3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6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22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2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24" xfId="22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Input" xfId="20"/>
    <cellStyle name="Excel Built-in Output" xfId="21"/>
    <cellStyle name="Excel Built-in Calculation" xfId="22"/>
    <cellStyle name="Excel Built-in Neutral" xfId="23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B19" activeCellId="0" sqref="B19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9.89"/>
    <col collapsed="false" customWidth="true" hidden="false" outlineLevel="0" max="3" min="3" style="1" width="13.22"/>
    <col collapsed="false" customWidth="true" hidden="false" outlineLevel="0" max="4" min="4" style="2" width="12.67"/>
    <col collapsed="false" customWidth="true" hidden="false" outlineLevel="0" max="6" min="6" style="1" width="12"/>
  </cols>
  <sheetData>
    <row r="1" customFormat="false" ht="27.75" hidden="false" customHeight="true" outlineLevel="0" collapsed="false">
      <c r="A1" s="3" t="s">
        <v>0</v>
      </c>
      <c r="B1" s="4"/>
      <c r="C1" s="5"/>
    </row>
    <row r="2" customFormat="false" ht="14.25" hidden="false" customHeight="false" outlineLevel="0" collapsed="false">
      <c r="A2" s="6" t="s">
        <v>1</v>
      </c>
      <c r="B2" s="7" t="n">
        <v>5</v>
      </c>
      <c r="C2" s="8" t="s">
        <v>2</v>
      </c>
    </row>
    <row r="3" customFormat="false" ht="14.25" hidden="false" customHeight="false" outlineLevel="0" collapsed="false">
      <c r="A3" s="9"/>
      <c r="B3" s="2"/>
      <c r="C3" s="10"/>
    </row>
    <row r="4" customFormat="false" ht="62.25" hidden="false" customHeight="true" outlineLevel="0" collapsed="false">
      <c r="A4" s="11" t="s">
        <v>3</v>
      </c>
      <c r="B4" s="11" t="s">
        <v>4</v>
      </c>
      <c r="C4" s="12" t="s">
        <v>5</v>
      </c>
    </row>
    <row r="5" customFormat="false" ht="14.25" hidden="false" customHeight="false" outlineLevel="0" collapsed="false">
      <c r="A5" s="13" t="n">
        <v>0</v>
      </c>
      <c r="B5" s="14" t="n">
        <v>172058</v>
      </c>
      <c r="C5" s="15" t="n">
        <f aca="false">(4750*(172268*(B5^2) + 13913806737*B5 + 828480786525))/(807*(253*B5 + 20419350) *(1417*B5 + 5823153))</f>
        <v>2.76333546177173</v>
      </c>
    </row>
    <row r="6" customFormat="false" ht="14.25" hidden="false" customHeight="false" outlineLevel="0" collapsed="false">
      <c r="A6" s="16" t="n">
        <v>25</v>
      </c>
      <c r="B6" s="7" t="n">
        <v>50325</v>
      </c>
      <c r="C6" s="17" t="n">
        <f aca="false">(4750*(172268*(B6^2) + 13913806737*B6 + 828480786525))/(807*(253*B6 + 20419350) *(1417*B6 + 5823153))</f>
        <v>2.61792673916254</v>
      </c>
    </row>
    <row r="7" customFormat="false" ht="14.25" hidden="false" customHeight="false" outlineLevel="0" collapsed="false">
      <c r="A7" s="16" t="n">
        <v>50</v>
      </c>
      <c r="B7" s="7" t="n">
        <v>17557</v>
      </c>
      <c r="C7" s="17" t="n">
        <f aca="false">(4750*(172268*(B7^2) + 13913806737*B7 + 828480786525))/(807*(253*B7 + 20419350) *(1417*B7 + 5823153))</f>
        <v>2.29967786514341</v>
      </c>
    </row>
    <row r="8" customFormat="false" ht="14.25" hidden="false" customHeight="false" outlineLevel="0" collapsed="false">
      <c r="A8" s="16" t="n">
        <v>75</v>
      </c>
      <c r="B8" s="7" t="n">
        <v>7034</v>
      </c>
      <c r="C8" s="17" t="n">
        <f aca="false">(4750*(172268*(B8^2) + 13913806737*B8 + 828480786525))/(807*(253*B8 + 20419350) *(1417*B8 + 5823153))</f>
        <v>1.80043879046874</v>
      </c>
    </row>
    <row r="9" customFormat="false" ht="14.25" hidden="false" customHeight="false" outlineLevel="0" collapsed="false">
      <c r="A9" s="16" t="n">
        <v>100</v>
      </c>
      <c r="B9" s="7" t="n">
        <v>3359</v>
      </c>
      <c r="C9" s="17" t="n">
        <f aca="false">(4750*(172268*(B9^2) + 13913806737*B9 + 828480786525))/(807*(253*B9 + 20419350) *(1417*B9 + 5823153))</f>
        <v>1.29463538354353</v>
      </c>
    </row>
    <row r="10" customFormat="false" ht="14.25" hidden="false" customHeight="false" outlineLevel="0" collapsed="false">
      <c r="A10" s="18" t="n">
        <v>125</v>
      </c>
      <c r="B10" s="19" t="n">
        <v>1723</v>
      </c>
      <c r="C10" s="20" t="n">
        <f aca="false">(4750*(172268*(B10^2) + 13913806737*B10 + 828480786525))/(807*(253*B10 + 20419350) *(1417*B10 + 5823153))</f>
        <v>0.864431100122533</v>
      </c>
    </row>
    <row r="14" customFormat="false" ht="14.25" hidden="false" customHeight="false" outlineLevel="0" collapsed="false">
      <c r="A14" s="3" t="s">
        <v>6</v>
      </c>
      <c r="B14" s="4"/>
      <c r="C14" s="21"/>
    </row>
    <row r="15" customFormat="false" ht="14.25" hidden="false" customHeight="false" outlineLevel="0" collapsed="false">
      <c r="A15" s="22" t="s">
        <v>1</v>
      </c>
      <c r="B15" s="23" t="n">
        <v>5</v>
      </c>
      <c r="C15" s="24" t="s">
        <v>2</v>
      </c>
    </row>
    <row r="16" customFormat="false" ht="14.25" hidden="false" customHeight="false" outlineLevel="0" collapsed="false">
      <c r="A16" s="9"/>
      <c r="B16" s="2"/>
      <c r="C16" s="25"/>
    </row>
    <row r="17" customFormat="false" ht="31.3" hidden="false" customHeight="false" outlineLevel="0" collapsed="false">
      <c r="A17" s="11" t="s">
        <v>3</v>
      </c>
      <c r="B17" s="26" t="s">
        <v>4</v>
      </c>
      <c r="C17" s="12" t="s">
        <v>7</v>
      </c>
    </row>
    <row r="18" customFormat="false" ht="14.25" hidden="false" customHeight="false" outlineLevel="0" collapsed="false">
      <c r="A18" s="13" t="n">
        <v>0</v>
      </c>
      <c r="B18" s="27"/>
      <c r="C18" s="28" t="n">
        <f aca="false">B$2*(13300/(B18+33200+13300))</f>
        <v>1.43010752688172</v>
      </c>
      <c r="E18" s="1"/>
    </row>
    <row r="19" customFormat="false" ht="14.25" hidden="false" customHeight="false" outlineLevel="0" collapsed="false">
      <c r="A19" s="16" t="n">
        <v>25</v>
      </c>
      <c r="B19" s="23"/>
      <c r="C19" s="28" t="n">
        <f aca="false">B$2*(13300/(B19+33200+13300))</f>
        <v>1.43010752688172</v>
      </c>
    </row>
    <row r="20" customFormat="false" ht="14.25" hidden="false" customHeight="false" outlineLevel="0" collapsed="false">
      <c r="A20" s="16" t="n">
        <v>50</v>
      </c>
      <c r="B20" s="23"/>
      <c r="C20" s="28" t="n">
        <f aca="false">B$2*(13300/(B20+33200+13300))</f>
        <v>1.43010752688172</v>
      </c>
    </row>
    <row r="21" customFormat="false" ht="14.25" hidden="false" customHeight="false" outlineLevel="0" collapsed="false">
      <c r="A21" s="16" t="n">
        <v>75</v>
      </c>
      <c r="B21" s="23"/>
      <c r="C21" s="28" t="n">
        <f aca="false">B$2*(13300/(B21+33200+13300))</f>
        <v>1.43010752688172</v>
      </c>
    </row>
    <row r="22" customFormat="false" ht="14.25" hidden="false" customHeight="false" outlineLevel="0" collapsed="false">
      <c r="A22" s="16" t="n">
        <v>100</v>
      </c>
      <c r="B22" s="23"/>
      <c r="C22" s="28" t="n">
        <f aca="false">B$2*(13300/(B22+33200+13300))</f>
        <v>1.43010752688172</v>
      </c>
    </row>
    <row r="23" customFormat="false" ht="14.25" hidden="false" customHeight="false" outlineLevel="0" collapsed="false">
      <c r="A23" s="18" t="n">
        <v>125</v>
      </c>
      <c r="B23" s="29"/>
      <c r="C23" s="30" t="n">
        <f aca="false">B$2*(13300/(B23+33200+13300))</f>
        <v>1.43010752688172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2025-02-19T20:34:28Z</dcterms:created>
  <dc:creator>Viraaj Lulla</dc:creator>
  <dc:description/>
  <dc:language>en-US</dc:language>
  <cp:lastModifiedBy/>
  <dcterms:modified xsi:type="dcterms:W3CDTF">2026-03-13T13:49:03Z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